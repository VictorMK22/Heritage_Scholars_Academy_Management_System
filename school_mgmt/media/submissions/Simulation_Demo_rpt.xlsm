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VMK\BBC 4th Year\4.2\Simulation And Modeling\Assignments\"/>
    </mc:Choice>
  </mc:AlternateContent>
  <bookViews>
    <workbookView xWindow="285" yWindow="1590" windowWidth="22755" windowHeight="10650" tabRatio="790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3" i="20" s="1" a="1"/>
  <c r="O3" i="20" s="1"/>
  <c r="I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K4" i="20" a="1"/>
  <c r="K4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2" i="18"/>
  <c r="M3" i="18"/>
  <c r="M4" i="18"/>
  <c r="O6" i="18" s="1" a="1"/>
  <c r="O6" i="18" s="1"/>
  <c r="M5" i="18"/>
  <c r="S3" i="18" s="1" a="1"/>
  <c r="S3" i="18" s="1"/>
  <c r="M6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O4" i="18" a="1"/>
  <c r="O4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L2" i="17"/>
  <c r="L3" i="17"/>
  <c r="L4" i="17"/>
  <c r="L5" i="17"/>
  <c r="R3" i="17" s="1" a="1"/>
  <c r="R3" i="17" s="1"/>
  <c r="L6" i="17"/>
  <c r="L7" i="17"/>
  <c r="L8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O6" i="17" a="1"/>
  <c r="O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X8" i="17" a="1"/>
  <c r="X8" i="17" s="1"/>
  <c r="G2" i="16"/>
  <c r="L5" i="20" l="1" a="1"/>
  <c r="L5" i="20" s="1"/>
  <c r="K2" i="20" a="1"/>
  <c r="K2" i="20" s="1"/>
  <c r="L3" i="20" a="1"/>
  <c r="L3" i="20" s="1"/>
  <c r="K6" i="20" a="1"/>
  <c r="K6" i="20" s="1"/>
  <c r="N5" i="20"/>
  <c r="N3" i="20"/>
  <c r="P5" i="20" a="1"/>
  <c r="P5" i="20" s="1"/>
  <c r="P3" i="20" a="1"/>
  <c r="P3" i="20" s="1"/>
  <c r="O6" i="20" a="1"/>
  <c r="O6" i="20" s="1"/>
  <c r="O4" i="20" a="1"/>
  <c r="O4" i="20" s="1"/>
  <c r="O2" i="20" a="1"/>
  <c r="O2" i="20" s="1"/>
  <c r="L4" i="20" a="1"/>
  <c r="L4" i="20" s="1"/>
  <c r="N4" i="20" s="1"/>
  <c r="L2" i="20" a="1"/>
  <c r="L2" i="20" s="1"/>
  <c r="N2" i="20" s="1"/>
  <c r="K5" i="20" a="1"/>
  <c r="K5" i="20" s="1"/>
  <c r="K3" i="20" a="1"/>
  <c r="K3" i="20" s="1"/>
  <c r="L6" i="20" a="1"/>
  <c r="L6" i="20" s="1"/>
  <c r="N6" i="20" s="1"/>
  <c r="P6" i="20" a="1"/>
  <c r="P6" i="20" s="1"/>
  <c r="P4" i="20" a="1"/>
  <c r="P4" i="20" s="1"/>
  <c r="P2" i="20" a="1"/>
  <c r="P2" i="20" s="1"/>
  <c r="O5" i="20" a="1"/>
  <c r="O5" i="20" s="1"/>
  <c r="P5" i="18" a="1"/>
  <c r="P5" i="18" s="1"/>
  <c r="P3" i="18" a="1"/>
  <c r="P3" i="18" s="1"/>
  <c r="O2" i="18" a="1"/>
  <c r="O2" i="18" s="1"/>
  <c r="R3" i="18"/>
  <c r="U3" i="18"/>
  <c r="U4" i="18"/>
  <c r="U6" i="18"/>
  <c r="U2" i="18"/>
  <c r="R5" i="18"/>
  <c r="U5" i="18"/>
  <c r="T5" i="18" a="1"/>
  <c r="T5" i="18" s="1"/>
  <c r="T3" i="18" a="1"/>
  <c r="T3" i="18" s="1"/>
  <c r="S6" i="18" a="1"/>
  <c r="S6" i="18" s="1"/>
  <c r="S4" i="18" a="1"/>
  <c r="S4" i="18" s="1"/>
  <c r="S2" i="18" a="1"/>
  <c r="S2" i="18" s="1"/>
  <c r="P4" i="18" a="1"/>
  <c r="P4" i="18" s="1"/>
  <c r="R4" i="18" s="1"/>
  <c r="P2" i="18" a="1"/>
  <c r="P2" i="18" s="1"/>
  <c r="R2" i="18" s="1"/>
  <c r="O5" i="18" a="1"/>
  <c r="O5" i="18" s="1"/>
  <c r="O3" i="18" a="1"/>
  <c r="O3" i="18" s="1"/>
  <c r="P6" i="18" a="1"/>
  <c r="P6" i="18" s="1"/>
  <c r="R6" i="18" s="1"/>
  <c r="T6" i="18" a="1"/>
  <c r="T6" i="18" s="1"/>
  <c r="T4" i="18" a="1"/>
  <c r="T4" i="18" s="1"/>
  <c r="T2" i="18" a="1"/>
  <c r="T2" i="18" s="1"/>
  <c r="S5" i="18" a="1"/>
  <c r="S5" i="18" s="1"/>
  <c r="N5" i="17" a="1"/>
  <c r="N5" i="17" s="1"/>
  <c r="X6" i="17" a="1"/>
  <c r="X6" i="17" s="1"/>
  <c r="O4" i="17" a="1"/>
  <c r="O4" i="17" s="1"/>
  <c r="N3" i="17" a="1"/>
  <c r="N3" i="17" s="1"/>
  <c r="X4" i="17" a="1"/>
  <c r="X4" i="17" s="1"/>
  <c r="Y4" i="17" s="1"/>
  <c r="Q4" i="17" s="1"/>
  <c r="O2" i="17" a="1"/>
  <c r="O2" i="17" s="1"/>
  <c r="X2" i="17" a="1"/>
  <c r="X2" i="17" s="1"/>
  <c r="O8" i="17" a="1"/>
  <c r="O8" i="17" s="1"/>
  <c r="N7" i="17" a="1"/>
  <c r="N7" i="17" s="1"/>
  <c r="W5" i="17"/>
  <c r="W7" i="17"/>
  <c r="W6" i="17"/>
  <c r="Y6" i="17"/>
  <c r="Q6" i="17" s="1"/>
  <c r="W2" i="17"/>
  <c r="Y2" i="17"/>
  <c r="Q2" i="17" s="1"/>
  <c r="W8" i="17"/>
  <c r="Y8" i="17"/>
  <c r="W4" i="17"/>
  <c r="W3" i="17"/>
  <c r="V8" i="17" a="1"/>
  <c r="V8" i="17" s="1"/>
  <c r="V4" i="17" a="1"/>
  <c r="V4" i="17" s="1"/>
  <c r="V2" i="17" a="1"/>
  <c r="V2" i="17" s="1"/>
  <c r="U7" i="17" a="1"/>
  <c r="U7" i="17" s="1"/>
  <c r="U5" i="17" a="1"/>
  <c r="U5" i="17" s="1"/>
  <c r="U3" i="17" a="1"/>
  <c r="U3" i="17" s="1"/>
  <c r="T8" i="17" a="1"/>
  <c r="T8" i="17" s="1"/>
  <c r="T6" i="17" a="1"/>
  <c r="T6" i="17" s="1"/>
  <c r="T4" i="17" a="1"/>
  <c r="T4" i="17" s="1"/>
  <c r="T2" i="17" a="1"/>
  <c r="T2" i="17" s="1"/>
  <c r="S7" i="17" a="1"/>
  <c r="S7" i="17" s="1"/>
  <c r="S5" i="17" a="1"/>
  <c r="S5" i="17" s="1"/>
  <c r="S3" i="17" a="1"/>
  <c r="S3" i="17" s="1"/>
  <c r="R8" i="17" a="1"/>
  <c r="R8" i="17" s="1"/>
  <c r="R6" i="17" a="1"/>
  <c r="R6" i="17" s="1"/>
  <c r="R4" i="17" a="1"/>
  <c r="R4" i="17" s="1"/>
  <c r="R2" i="17" a="1"/>
  <c r="R2" i="17" s="1"/>
  <c r="V6" i="17" a="1"/>
  <c r="V6" i="17" s="1"/>
  <c r="X7" i="17" a="1"/>
  <c r="X7" i="17" s="1"/>
  <c r="Y7" i="17" s="1"/>
  <c r="X5" i="17" a="1"/>
  <c r="X5" i="17" s="1"/>
  <c r="Y5" i="17" s="1"/>
  <c r="Q5" i="17" s="1"/>
  <c r="X3" i="17" a="1"/>
  <c r="X3" i="17" s="1"/>
  <c r="Y3" i="17" s="1"/>
  <c r="O7" i="17" a="1"/>
  <c r="O7" i="17" s="1"/>
  <c r="O5" i="17" a="1"/>
  <c r="O5" i="17" s="1"/>
  <c r="O3" i="17" a="1"/>
  <c r="O3" i="17" s="1"/>
  <c r="N8" i="17" a="1"/>
  <c r="N8" i="17" s="1"/>
  <c r="N6" i="17" a="1"/>
  <c r="N6" i="17" s="1"/>
  <c r="N4" i="17" a="1"/>
  <c r="N4" i="17" s="1"/>
  <c r="N2" i="17" a="1"/>
  <c r="N2" i="17" s="1"/>
  <c r="V7" i="17" a="1"/>
  <c r="V7" i="17" s="1"/>
  <c r="V5" i="17" a="1"/>
  <c r="V5" i="17" s="1"/>
  <c r="V3" i="17" a="1"/>
  <c r="V3" i="17" s="1"/>
  <c r="U8" i="17" a="1"/>
  <c r="U8" i="17" s="1"/>
  <c r="U6" i="17" a="1"/>
  <c r="U6" i="17" s="1"/>
  <c r="U4" i="17" a="1"/>
  <c r="U4" i="17" s="1"/>
  <c r="U2" i="17" a="1"/>
  <c r="U2" i="17" s="1"/>
  <c r="T7" i="17" a="1"/>
  <c r="T7" i="17" s="1"/>
  <c r="T5" i="17" a="1"/>
  <c r="T5" i="17" s="1"/>
  <c r="T3" i="17" a="1"/>
  <c r="T3" i="17" s="1"/>
  <c r="S8" i="17" a="1"/>
  <c r="S8" i="17" s="1"/>
  <c r="S6" i="17" a="1"/>
  <c r="S6" i="17" s="1"/>
  <c r="S4" i="17" a="1"/>
  <c r="S4" i="17" s="1"/>
  <c r="S2" i="17" a="1"/>
  <c r="S2" i="17" s="1"/>
  <c r="R7" i="17" a="1"/>
  <c r="R7" i="17" s="1"/>
  <c r="R5" i="17" a="1"/>
  <c r="R5" i="17" s="1"/>
  <c r="Q8" i="17" l="1"/>
  <c r="Q3" i="17"/>
  <c r="Q7" i="17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d:\vmk\bbc 4th year\4.2\simulation and modeling\assignments\simulation demo.db;StepAPI=;SyncPragma=;NoTXN=;Timeout=;ShortNames=;LongNames=;NoCreat=;NoWCHAR=;FKSupport=;JournalMode=;OEMCP=;LoadExt=;BigInt=;JDConv=;" command="select * from FrequencyStatsQuery"/>
  </connection>
  <connection id="2" name="Connection1" type="1" refreshedVersion="6" saveData="1">
    <dbPr connection="Driver={SQLite3 ODBC Driver};Database=d:\vmk\bbc 4th year\4.2\simulation and modeling\assignments\simulation demo.db;StepAPI=;SyncPragma=;NoTXN=;Timeout=;ShortNames=;LongNames=;NoCreat=;NoWCHAR=;FKSupport=;JournalMode=;OEMCP=;LoadExt=;BigInt=;JDConv=;" command="select * from ProjectQuery"/>
  </connection>
  <connection id="3" name="Connection2" type="1" refreshedVersion="6" saveData="1">
    <dbPr connection="Driver={SQLite3 ODBC Driver};Database=d:\vmk\bbc 4th year\4.2\simulation and modeling\assignments\simulation demo.db;StepAPI=;SyncPragma=;NoTXN=;Timeout=;ShortNames=;LongNames=;NoCreat=;NoWCHAR=;FKSupport=;JournalMode=;OEMCP=;LoadExt=;BigInt=;JDConv=;" command="select * from DiscreteTimeStatsQuery"/>
  </connection>
  <connection id="4" name="Connection3" type="1" refreshedVersion="6" saveData="1">
    <dbPr connection="Driver={SQLite3 ODBC Driver};Database=d:\vmk\bbc 4th year\4.2\simulation and modeling\assignments\simulation demo.db;StepAPI=;SyncPragma=;NoTXN=;Timeout=;ShortNames=;LongNames=;NoCreat=;NoWCHAR=;FKSupport=;JournalMode=;OEMCP=;LoadExt=;BigInt=;JDConv=;" command="select * from ContinuousTimeStatsQuery"/>
  </connection>
  <connection id="5" name="Connection4" type="1" refreshedVersion="6" saveData="1">
    <dbPr connection="Driver={SQLite3 ODBC Driver};Database=d:\vmk\bbc 4th year\4.2\simulation and modeling\assignments\simulation demo.db;StepAPI=;SyncPragma=;NoTXN=;Timeout=;ShortNames=;LongNames=;NoCreat=;NoWCHAR=;FKSupport=;JournalMode=;OEMCP=;LoadExt=;BigInt=;JDConv=;" command="select * from CounterStatsQuery"/>
  </connection>
  <connection id="6" name="Connection5" type="1" refreshedVersion="6" saveData="1">
    <dbPr connection="Driver={SQLite3 ODBC Driver};Database=d:\vmk\bbc 4th year\4.2\simulation and modeling\assignments\simulation demo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<sst xmlns="http://schemas.openxmlformats.org/spreadsheetml/2006/main" count="297" uniqueCount="99">
  <si>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</si>
  <si>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</si>
  <si>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</si>
  <si>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</si>
  <si>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</si>
  <si>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</si>
  <si>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</si>
  <si>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</si>
  <si>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</si>
  <si>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</si>
  <si>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</si>
  <si>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</si>
  <si>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</si>
  <si>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</si>
  <si>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</si>
  <si>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</si>
  <si>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</si>
  <si>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</si>
  <si>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</si>
  <si>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</si>
  <si>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</si>
  <si>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</si>
  <si>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</si>
  <si>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</si>
  <si>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</si>
  <si>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</si>
  <si>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</si>
  <si>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</si>
  <si>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</si>
  <si>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</si>
  <si>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</si>
  <si>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</si>
  <si>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</si>
  <si>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</si>
  <si>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</si>
  <si>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</si>
  <si>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</si>
  <si>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</si>
  <si>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</si>
  <si>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</si>
  <si>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</si>
  <si>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</si>
  <si>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</si>
  <si>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</si>
  <si>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</si>
  <si>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</si>
  <si>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</si>
  <si>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</si>
  <si>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</si>
  <si>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</si>
  <si>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</si>
  <si>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</si>
  <si>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</si>
  <si>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</si>
  <si>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</si>
  <si>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</si>
  <si>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</si>
  <si>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</si>
  <si>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</si>
  <si>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</si>
  <si>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</si>
  <si>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</si>
  <si>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</si>
  <si>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</si>
  <si>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</si>
  <si>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</si>
  <si>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</si>
  <si>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</si>
  <si>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</si>
  <si>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D:\VMK\BBC 4th Year\4.2\Simulation And Modeling\Assignments\Simulation Demo.p</t>
  </si>
  <si>
    <t>2025-02-28 17:01:33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</si>
  <si>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</si>
  <si>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</si>
  <si>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</si>
  <si>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</si>
  <si>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</si>
  <si>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</si>
  <si>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</si>
  <si>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</si>
  <si>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Teller Service.Queue</t>
  </si>
  <si>
    <t>Waiting Time</t>
  </si>
  <si>
    <t>Queue</t>
  </si>
  <si>
    <t>WIP</t>
  </si>
  <si>
    <t>Teller</t>
  </si>
  <si>
    <t>Instantaneous Utilization</t>
  </si>
  <si>
    <t>Resource</t>
  </si>
  <si>
    <t>Number Busy</t>
  </si>
  <si>
    <t>Number Scheduled</t>
  </si>
  <si>
    <t>Number Waiting</t>
  </si>
  <si>
    <t>Entity 1.NumberIn</t>
  </si>
  <si>
    <t>Number In</t>
  </si>
  <si>
    <t>Entity 1.NumberOut</t>
  </si>
  <si>
    <t>Number Out</t>
  </si>
  <si>
    <t>System.NumberOut</t>
  </si>
  <si>
    <t>System</t>
  </si>
  <si>
    <t>Teller.NumberSeized</t>
  </si>
  <si>
    <t>Total Number Seized</t>
  </si>
  <si>
    <t>Teller.ScheduledUtilization</t>
  </si>
  <si>
    <t>Scheduled 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</si>
</sst>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LI VICTOR" refreshedDate="45716.710425925929" createdVersion="7" refreshedVersion="6" minRefreshableVersion="3" recordCount="5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6">
        <s v="Entity 1"/>
        <s v="Teller"/>
        <s v="Teller Service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98233445833754496" maxValue="23.952888648027901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66"/>
    </cacheField>
    <cacheField name="LastRecordedValue" numFmtId="0">
      <sharedItems containsSemiMixedTypes="0" containsString="0" containsNumber="1" containsInteger="1" minValue="1" maxValue="2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8233445833754496" maxValue="23.9528886480279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8233445833754496" maxValue="23.952888648027901"/>
    </cacheField>
    <cacheField name="MaximumAverage" numFmtId="0">
      <sharedItems containsSemiMixedTypes="0" containsString="0" containsNumber="1" minValue="0.98233445833754496" maxValue="23.952888648027901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ELI VICTOR" refreshedDate="45716.710426041667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ELI VICTOR" refreshedDate="45716.710426157406" createdVersion="7" refreshedVersion="6" minRefreshableVersion="3" recordCount="7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Entity 1"/>
        <s v="Teller Service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123.3221168377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213.50977218872899"/>
    </cacheField>
    <cacheField name="Maximum" numFmtId="0">
      <sharedItems containsSemiMixedTypes="0" containsString="0" containsNumber="1" minValue="0" maxValue="27307.339988717998"/>
    </cacheField>
    <cacheField name="NumberObservations" numFmtId="0">
      <sharedItems containsSemiMixedTypes="0" containsString="0" containsNumber="1" containsInteger="1" minValue="2494" maxValue="2495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0123.322116837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0123.3221168377"/>
    </cacheField>
    <cacheField name="MaximumAverage" numFmtId="0">
      <sharedItems containsSemiMixedTypes="0" containsString="0" containsNumber="1" minValue="0" maxValue="10123.3221168377"/>
    </cacheField>
    <cacheField name="OverallMinimum" numFmtId="0">
      <sharedItems containsSemiMixedTypes="0" containsString="0" containsNumber="1" minValue="0" maxValue="213.50977218872899"/>
    </cacheField>
    <cacheField name="OverallMaximum" numFmtId="0">
      <sharedItems containsSemiMixedTypes="0" containsString="0" containsNumber="1" minValue="0" maxValue="27307.339988717998"/>
    </cacheField>
    <cacheField name="AverageNumberObservations" numFmtId="0">
      <sharedItems containsSemiMixedTypes="0" containsString="0" containsNumber="1" containsInteger="1" minValue="2494" maxValue="2495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ELI VICTOR" refreshedDate="45716.710426273145" createdVersion="7" refreshedVersion="6" minRefreshableVersion="3" recordCount="5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1">
        <s v="Entity 1.NumberIn"/>
        <s v="Entity 1.NumberOut"/>
        <s v="System.NumberOut"/>
        <s v="Teller.NumberSeized"/>
        <s v="Teller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0.98233445833754496" maxValue="251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8233445833754496" maxValue="251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8233445833754496" maxValue="2518"/>
    </cacheField>
    <cacheField name="Maximum" numFmtId="0">
      <sharedItems containsSemiMixedTypes="0" containsString="0" containsNumber="1" minValue="0.98233445833754496" maxValue="25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MELI VICTOR" refreshedDate="45716.71042638889" createdVersion="7" refreshedVersion="6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s v="2025-02-28 17:01:33"/>
    <n v="1"/>
    <x v="0"/>
    <x v="0"/>
    <x v="0"/>
    <n v="23.952888648027901"/>
    <n v="3E+20"/>
    <n v="0"/>
    <n v="66"/>
    <n v="24"/>
    <n v="0"/>
    <s v="Unnamed ProjectEntity 1WIPEntity"/>
    <n v="1"/>
    <n v="23.952888648027901"/>
    <n v="0"/>
    <n v="0.95"/>
    <n v="4E+20"/>
    <n v="23.952888648027901"/>
    <n v="23.952888648027901"/>
    <n v="3E+20"/>
  </r>
  <r>
    <x v="0"/>
    <s v="2025-02-28 17:01:33"/>
    <n v="1"/>
    <x v="1"/>
    <x v="1"/>
    <x v="1"/>
    <n v="0.98233445833754496"/>
    <n v="2E+20"/>
    <n v="0"/>
    <n v="1"/>
    <n v="1"/>
    <n v="0"/>
    <s v="Unnamed ProjectTellerInstantaneous UtilizationResource"/>
    <n v="1"/>
    <n v="0.98233445833754496"/>
    <n v="0"/>
    <n v="0.95"/>
    <n v="4E+20"/>
    <n v="0.98233445833754496"/>
    <n v="0.98233445833754496"/>
    <n v="2E+20"/>
  </r>
  <r>
    <x v="0"/>
    <s v="2025-02-28 17:01:33"/>
    <n v="1"/>
    <x v="1"/>
    <x v="2"/>
    <x v="1"/>
    <n v="0.98233445833754496"/>
    <n v="2E+20"/>
    <n v="0"/>
    <n v="1"/>
    <n v="1"/>
    <n v="0"/>
    <s v="Unnamed ProjectTellerNumber BusyResource"/>
    <n v="1"/>
    <n v="0.98233445833754496"/>
    <n v="0"/>
    <n v="0.95"/>
    <n v="4E+20"/>
    <n v="0.98233445833754496"/>
    <n v="0.98233445833754496"/>
    <n v="2E+20"/>
  </r>
  <r>
    <x v="0"/>
    <s v="2025-02-28 17:01:33"/>
    <n v="1"/>
    <x v="1"/>
    <x v="3"/>
    <x v="1"/>
    <n v="1"/>
    <n v="2E+20"/>
    <n v="1"/>
    <n v="1"/>
    <n v="1"/>
    <n v="0"/>
    <s v="Unnamed ProjectTellerNumber ScheduledResource"/>
    <n v="1"/>
    <n v="1"/>
    <n v="0"/>
    <n v="0.95"/>
    <n v="4E+20"/>
    <n v="1"/>
    <n v="1"/>
    <n v="2E+20"/>
  </r>
  <r>
    <x v="0"/>
    <s v="2025-02-28 17:01:33"/>
    <n v="1"/>
    <x v="2"/>
    <x v="4"/>
    <x v="2"/>
    <n v="22.9705541896904"/>
    <n v="3E+20"/>
    <n v="0"/>
    <n v="65"/>
    <n v="23"/>
    <n v="0"/>
    <s v="Unnamed ProjectTeller Service.QueueNumber WaitingQueue"/>
    <n v="1"/>
    <n v="22.9705541896904"/>
    <n v="0"/>
    <n v="0.95"/>
    <n v="4E+20"/>
    <n v="22.9705541896904"/>
    <n v="22.9705541896904"/>
    <n v="3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x v="0"/>
    <s v="2025-02-28 17:01:33"/>
    <n v="1"/>
    <x v="0"/>
    <x v="0"/>
    <x v="0"/>
    <n v="0"/>
    <n v="0"/>
    <n v="0"/>
    <n v="0"/>
    <n v="2494"/>
    <s v="Unnamed ProjectEntity 1NVA TimeEntity"/>
    <n v="1"/>
    <n v="0"/>
    <n v="0"/>
    <n v="0.95"/>
    <n v="4E+20"/>
    <n v="0"/>
    <n v="0"/>
    <n v="0"/>
    <n v="0"/>
    <n v="2494"/>
    <n v="0"/>
    <n v="1"/>
    <n v="1"/>
  </r>
  <r>
    <x v="0"/>
    <s v="2025-02-28 17:01:33"/>
    <n v="1"/>
    <x v="0"/>
    <x v="1"/>
    <x v="0"/>
    <n v="0"/>
    <n v="0"/>
    <n v="0"/>
    <n v="0"/>
    <n v="2494"/>
    <s v="Unnamed ProjectEntity 1Other TimeEntity"/>
    <n v="1"/>
    <n v="0"/>
    <n v="0"/>
    <n v="0.95"/>
    <n v="4E+20"/>
    <n v="0"/>
    <n v="0"/>
    <n v="0"/>
    <n v="0"/>
    <n v="2494"/>
    <n v="0"/>
    <n v="1"/>
    <n v="1"/>
  </r>
  <r>
    <x v="0"/>
    <s v="2025-02-28 17:01:33"/>
    <n v="1"/>
    <x v="0"/>
    <x v="2"/>
    <x v="0"/>
    <n v="10123.3221168377"/>
    <n v="3E+20"/>
    <n v="213.50977218872899"/>
    <n v="27307.339988717998"/>
    <n v="2494"/>
    <s v="Unnamed ProjectEntity 1Total TimeEntity"/>
    <n v="1"/>
    <n v="10123.3221168377"/>
    <n v="0"/>
    <n v="0.95"/>
    <n v="4E+20"/>
    <n v="10123.3221168377"/>
    <n v="10123.3221168377"/>
    <n v="213.50977218872899"/>
    <n v="27307.339988717998"/>
    <n v="2494"/>
    <n v="3E+20"/>
    <n v="1"/>
    <n v="1"/>
  </r>
  <r>
    <x v="0"/>
    <s v="2025-02-28 17:01:33"/>
    <n v="1"/>
    <x v="0"/>
    <x v="3"/>
    <x v="0"/>
    <n v="0"/>
    <n v="0"/>
    <n v="0"/>
    <n v="0"/>
    <n v="2494"/>
    <s v="Unnamed ProjectEntity 1Transfer TimeEntity"/>
    <n v="1"/>
    <n v="0"/>
    <n v="0"/>
    <n v="0.95"/>
    <n v="4E+20"/>
    <n v="0"/>
    <n v="0"/>
    <n v="0"/>
    <n v="0"/>
    <n v="2494"/>
    <n v="0"/>
    <n v="1"/>
    <n v="1"/>
  </r>
  <r>
    <x v="0"/>
    <s v="2025-02-28 17:01:33"/>
    <n v="1"/>
    <x v="0"/>
    <x v="4"/>
    <x v="0"/>
    <n v="417.30367616594401"/>
    <n v="4.2507441860343302"/>
    <n v="0"/>
    <n v="792.07468566892203"/>
    <n v="2494"/>
    <s v="Unnamed ProjectEntity 1VA TimeEntity"/>
    <n v="1"/>
    <n v="417.30367616594401"/>
    <n v="0"/>
    <n v="0.95"/>
    <n v="4E+20"/>
    <n v="417.30367616594401"/>
    <n v="417.30367616594401"/>
    <n v="0"/>
    <n v="792.07468566892203"/>
    <n v="2494"/>
    <n v="4.2507441860343302"/>
    <n v="1"/>
    <n v="1"/>
  </r>
  <r>
    <x v="0"/>
    <s v="2025-02-28 17:01:33"/>
    <n v="1"/>
    <x v="0"/>
    <x v="5"/>
    <x v="0"/>
    <n v="9706.0184406717508"/>
    <n v="3E+20"/>
    <n v="0"/>
    <n v="26765.0570100933"/>
    <n v="2494"/>
    <s v="Unnamed ProjectEntity 1Wait TimeEntity"/>
    <n v="1"/>
    <n v="9706.0184406717508"/>
    <n v="0"/>
    <n v="0.95"/>
    <n v="4E+20"/>
    <n v="9706.0184406717508"/>
    <n v="9706.0184406717508"/>
    <n v="0"/>
    <n v="26765.0570100933"/>
    <n v="2494"/>
    <n v="3E+20"/>
    <n v="1"/>
    <n v="1"/>
  </r>
  <r>
    <x v="0"/>
    <s v="2025-02-28 17:01:33"/>
    <n v="1"/>
    <x v="1"/>
    <x v="6"/>
    <x v="1"/>
    <n v="9708.0137091732595"/>
    <n v="3E+20"/>
    <n v="0"/>
    <n v="26765.0570100933"/>
    <n v="2495"/>
    <s v="Unnamed ProjectTeller Service.QueueWaiting TimeQueue"/>
    <n v="1"/>
    <n v="9708.0137091732595"/>
    <n v="0"/>
    <n v="0.95"/>
    <n v="4E+20"/>
    <n v="9708.0137091732595"/>
    <n v="9708.0137091732595"/>
    <n v="0"/>
    <n v="26765.0570100933"/>
    <n v="2495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">
  <r>
    <x v="0"/>
    <s v="2025-02-28 17:01:33"/>
    <n v="1"/>
    <x v="0"/>
    <x v="0"/>
    <x v="0"/>
    <n v="2518"/>
    <n v="0"/>
    <s v="Unnamed ProjectEntity 1.NumberInNumber InEntity"/>
    <n v="1"/>
    <n v="2518"/>
    <n v="0"/>
    <n v="0.95"/>
    <n v="4E+20"/>
    <n v="2518"/>
    <n v="2518"/>
  </r>
  <r>
    <x v="0"/>
    <s v="2025-02-28 17:01:33"/>
    <n v="1"/>
    <x v="1"/>
    <x v="1"/>
    <x v="0"/>
    <n v="2494"/>
    <n v="0"/>
    <s v="Unnamed ProjectEntity 1.NumberOutNumber OutEntity"/>
    <n v="1"/>
    <n v="2494"/>
    <n v="0"/>
    <n v="0.95"/>
    <n v="4E+20"/>
    <n v="2494"/>
    <n v="2494"/>
  </r>
  <r>
    <x v="0"/>
    <s v="2025-02-28 17:01:33"/>
    <n v="1"/>
    <x v="2"/>
    <x v="1"/>
    <x v="1"/>
    <n v="2494"/>
    <n v="0"/>
    <s v="Unnamed ProjectSystem.NumberOutNumber OutSystem"/>
    <n v="1"/>
    <n v="2494"/>
    <n v="0"/>
    <n v="0.95"/>
    <n v="4E+20"/>
    <n v="2494"/>
    <n v="2494"/>
  </r>
  <r>
    <x v="0"/>
    <s v="2025-02-28 17:01:33"/>
    <n v="1"/>
    <x v="3"/>
    <x v="2"/>
    <x v="2"/>
    <n v="2495"/>
    <n v="0"/>
    <s v="Unnamed ProjectTeller.NumberSeizedTotal Number SeizedResource"/>
    <n v="1"/>
    <n v="2495"/>
    <n v="0"/>
    <n v="0.95"/>
    <n v="4E+20"/>
    <n v="2495"/>
    <n v="2495"/>
  </r>
  <r>
    <x v="0"/>
    <s v="2025-02-28 17:01:33"/>
    <n v="1"/>
    <x v="4"/>
    <x v="3"/>
    <x v="2"/>
    <n v="0.98233445833754496"/>
    <n v="0"/>
    <s v="Unnamed ProjectTeller.ScheduledUtilizationScheduled UtilizationResource"/>
    <n v="1"/>
    <n v="0.98233445833754496"/>
    <n v="0"/>
    <n v="0.95"/>
    <n v="4E+20"/>
    <n v="0.98233445833754496"/>
    <n v="0.9823344583375449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ContinuousTimePivot" cacheId="40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0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FrequencyPivot" cacheId="46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DiscreteTimePivot" cacheId="52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OutputPivot" cacheId="58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2"/>
        <item m="1" x="64"/>
        <item m="1" x="51"/>
        <item m="1" x="68"/>
        <item m="1" x="53"/>
        <item x="0"/>
        <item x="1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3"/>
        <item x="4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CounterPivot" cacheId="64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8" tableType="queryTable" totalsRowShown="0">
  <autoFilter ref="A1:Y8"/>
  <sortState ref="A2:Y8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6" tableType="queryTable" totalsRowShown="0">
  <autoFilter ref="A1:U6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6" tableType="queryTable" totalsRowShown="0">
  <autoFilter ref="A1:P6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38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78.710937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1059583.54122239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2494</v>
      </c>
      <c r="O3" t="s">
        <v>67</v>
      </c>
      <c r="P3" t="s">
        <v>71</v>
      </c>
      <c r="Q3" t="s">
        <v>82</v>
      </c>
      <c r="R3" t="s">
        <v>73</v>
      </c>
      <c r="S3" s="5">
        <v>23.952888648027901</v>
      </c>
      <c r="T3" s="5">
        <v>3E+20</v>
      </c>
      <c r="U3" s="5">
        <v>0</v>
      </c>
      <c r="V3" s="5">
        <v>23.952888648027901</v>
      </c>
      <c r="W3" s="5">
        <v>23.952888648027901</v>
      </c>
      <c r="X3" s="5">
        <v>0</v>
      </c>
      <c r="Y3" s="5">
        <v>66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93</v>
      </c>
      <c r="AM3" t="s">
        <v>92</v>
      </c>
      <c r="AN3" t="s">
        <v>94</v>
      </c>
      <c r="AO3" s="5">
        <v>2494</v>
      </c>
      <c r="AP3" s="5">
        <v>4E+20</v>
      </c>
      <c r="AQ3" s="5">
        <v>0</v>
      </c>
      <c r="AR3" s="5">
        <v>2494</v>
      </c>
      <c r="AS3" s="5">
        <v>2494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2494</v>
      </c>
      <c r="P4" t="s">
        <v>83</v>
      </c>
      <c r="Q4" t="s">
        <v>84</v>
      </c>
      <c r="R4" t="s">
        <v>85</v>
      </c>
      <c r="S4" s="5">
        <v>0.98233445833754496</v>
      </c>
      <c r="T4" s="5">
        <v>2E+20</v>
      </c>
      <c r="U4" s="5">
        <v>0</v>
      </c>
      <c r="V4" s="5">
        <v>0.98233445833754496</v>
      </c>
      <c r="W4" s="5">
        <v>0.98233445833754496</v>
      </c>
      <c r="X4" s="5">
        <v>0</v>
      </c>
      <c r="Y4" s="5">
        <v>1</v>
      </c>
      <c r="AL4" t="s">
        <v>89</v>
      </c>
      <c r="AM4" t="s">
        <v>90</v>
      </c>
      <c r="AN4" t="s">
        <v>73</v>
      </c>
      <c r="AO4" s="5">
        <v>2518</v>
      </c>
      <c r="AP4" s="5">
        <v>4E+20</v>
      </c>
      <c r="AQ4" s="5">
        <v>0</v>
      </c>
      <c r="AR4" s="5">
        <v>2518</v>
      </c>
      <c r="AS4" s="5">
        <v>2518</v>
      </c>
    </row>
    <row r="5" spans="1:52" x14ac:dyDescent="0.25">
      <c r="C5" t="s">
        <v>75</v>
      </c>
      <c r="D5" t="s">
        <v>73</v>
      </c>
      <c r="E5" s="5">
        <v>10123.3221168377</v>
      </c>
      <c r="F5" s="5">
        <v>1</v>
      </c>
      <c r="G5" s="5">
        <v>3E+20</v>
      </c>
      <c r="H5" s="5">
        <v>0</v>
      </c>
      <c r="I5" s="5">
        <v>10123.3221168377</v>
      </c>
      <c r="J5" s="5">
        <v>10123.3221168377</v>
      </c>
      <c r="K5" s="5">
        <v>213.50977218872899</v>
      </c>
      <c r="L5" s="5">
        <v>27307.339988717998</v>
      </c>
      <c r="M5" s="5">
        <v>2494</v>
      </c>
      <c r="Q5" t="s">
        <v>86</v>
      </c>
      <c r="R5" t="s">
        <v>85</v>
      </c>
      <c r="S5" s="5">
        <v>0.98233445833754496</v>
      </c>
      <c r="T5" s="5">
        <v>2E+20</v>
      </c>
      <c r="U5" s="5">
        <v>0</v>
      </c>
      <c r="V5" s="5">
        <v>0.98233445833754496</v>
      </c>
      <c r="W5" s="5">
        <v>0.98233445833754496</v>
      </c>
      <c r="X5" s="5">
        <v>0</v>
      </c>
      <c r="Y5" s="5">
        <v>1</v>
      </c>
      <c r="AL5" t="s">
        <v>91</v>
      </c>
      <c r="AM5" t="s">
        <v>92</v>
      </c>
      <c r="AN5" t="s">
        <v>73</v>
      </c>
      <c r="AO5" s="5">
        <v>2494</v>
      </c>
      <c r="AP5" s="5">
        <v>4E+20</v>
      </c>
      <c r="AQ5" s="5">
        <v>0</v>
      </c>
      <c r="AR5" s="5">
        <v>2494</v>
      </c>
      <c r="AS5" s="5">
        <v>2494</v>
      </c>
    </row>
    <row r="6" spans="1:52" x14ac:dyDescent="0.25">
      <c r="C6" t="s">
        <v>76</v>
      </c>
      <c r="D6" t="s">
        <v>73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2494</v>
      </c>
      <c r="Q6" t="s">
        <v>87</v>
      </c>
      <c r="R6" t="s">
        <v>85</v>
      </c>
      <c r="S6" s="5">
        <v>1</v>
      </c>
      <c r="T6" s="5">
        <v>2E+20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95</v>
      </c>
      <c r="AM6" t="s">
        <v>96</v>
      </c>
      <c r="AN6" t="s">
        <v>85</v>
      </c>
      <c r="AO6" s="5">
        <v>2495</v>
      </c>
      <c r="AP6" s="5">
        <v>4E+20</v>
      </c>
      <c r="AQ6" s="5">
        <v>0</v>
      </c>
      <c r="AR6" s="5">
        <v>2495</v>
      </c>
      <c r="AS6" s="5">
        <v>2495</v>
      </c>
    </row>
    <row r="7" spans="1:52" x14ac:dyDescent="0.25">
      <c r="C7" t="s">
        <v>77</v>
      </c>
      <c r="D7" t="s">
        <v>73</v>
      </c>
      <c r="E7" s="5">
        <v>417.30367616594401</v>
      </c>
      <c r="F7" s="5">
        <v>1</v>
      </c>
      <c r="G7" s="5">
        <v>4.2507441860343302</v>
      </c>
      <c r="H7" s="5">
        <v>0</v>
      </c>
      <c r="I7" s="5">
        <v>417.30367616594401</v>
      </c>
      <c r="J7" s="5">
        <v>417.30367616594401</v>
      </c>
      <c r="K7" s="5">
        <v>0</v>
      </c>
      <c r="L7" s="5">
        <v>792.07468566892203</v>
      </c>
      <c r="M7" s="5">
        <v>2494</v>
      </c>
      <c r="P7" t="s">
        <v>79</v>
      </c>
      <c r="Q7" t="s">
        <v>88</v>
      </c>
      <c r="R7" t="s">
        <v>81</v>
      </c>
      <c r="S7" s="5">
        <v>22.9705541896904</v>
      </c>
      <c r="T7" s="5">
        <v>3E+20</v>
      </c>
      <c r="U7" s="5">
        <v>0</v>
      </c>
      <c r="V7" s="5">
        <v>22.9705541896904</v>
      </c>
      <c r="W7" s="5">
        <v>22.9705541896904</v>
      </c>
      <c r="X7" s="5">
        <v>0</v>
      </c>
      <c r="Y7" s="5">
        <v>65</v>
      </c>
      <c r="AL7" t="s">
        <v>97</v>
      </c>
      <c r="AM7" t="s">
        <v>98</v>
      </c>
      <c r="AN7" t="s">
        <v>85</v>
      </c>
      <c r="AO7" s="5">
        <v>0.98233445833754496</v>
      </c>
      <c r="AP7" s="5">
        <v>4E+20</v>
      </c>
      <c r="AQ7" s="5">
        <v>0</v>
      </c>
      <c r="AR7" s="5">
        <v>0.98233445833754496</v>
      </c>
      <c r="AS7" s="5">
        <v>0.98233445833754496</v>
      </c>
    </row>
    <row r="8" spans="1:52" x14ac:dyDescent="0.25">
      <c r="C8" t="s">
        <v>78</v>
      </c>
      <c r="D8" t="s">
        <v>73</v>
      </c>
      <c r="E8" s="5">
        <v>9706.0184406717508</v>
      </c>
      <c r="F8" s="5">
        <v>1</v>
      </c>
      <c r="G8" s="5">
        <v>3E+20</v>
      </c>
      <c r="H8" s="5">
        <v>0</v>
      </c>
      <c r="I8" s="5">
        <v>9706.0184406717508</v>
      </c>
      <c r="J8" s="5">
        <v>9706.0184406717508</v>
      </c>
      <c r="K8" s="5">
        <v>0</v>
      </c>
      <c r="L8" s="5">
        <v>26765.0570100933</v>
      </c>
      <c r="M8" s="5">
        <v>2494</v>
      </c>
    </row>
    <row r="9" spans="1:52" x14ac:dyDescent="0.25">
      <c r="B9" t="s">
        <v>79</v>
      </c>
      <c r="C9" t="s">
        <v>80</v>
      </c>
      <c r="D9" t="s">
        <v>81</v>
      </c>
      <c r="E9" s="5">
        <v>9708.0137091732595</v>
      </c>
      <c r="F9" s="5">
        <v>1</v>
      </c>
      <c r="G9" s="5">
        <v>3E+20</v>
      </c>
      <c r="H9" s="5">
        <v>0</v>
      </c>
      <c r="I9" s="5">
        <v>9708.0137091732595</v>
      </c>
      <c r="J9" s="5">
        <v>9708.0137091732595</v>
      </c>
      <c r="K9" s="5">
        <v>0</v>
      </c>
      <c r="L9" s="5">
        <v>26765.0570100933</v>
      </c>
      <c r="M9" s="5">
        <v>2495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8554687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" bestFit="1" customWidth="1"/>
    <col min="13" max="13" width="17.28515625" bestFit="1" customWidth="1"/>
    <col min="14" max="14" width="20.28515625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customWidth="1"/>
    <col min="20" max="20" width="18.5703125" customWidth="1"/>
    <col min="21" max="21" width="18.85546875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2494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2494</v>
      </c>
      <c r="W2">
        <f>IF((DiscreteStatsTable[[#This Row],[RepsRequested]]&gt;1),DiscreteStatsTable[[#This Row],[HalfWidth]],DiscreteStatsTable[[#This Row],[BatchMeansHalfWidth]])</f>
        <v>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0</v>
      </c>
      <c r="I3">
        <v>0</v>
      </c>
      <c r="J3">
        <v>0</v>
      </c>
      <c r="K3">
        <v>2494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2494</v>
      </c>
      <c r="W3">
        <f>IF((DiscreteStatsTable[[#This Row],[RepsRequested]]&gt;1),DiscreteStatsTable[[#This Row],[HalfWidth]],DiscreteStatsTable[[#This Row],[BatchMeansHalfWidth]])</f>
        <v>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10123.3221168377</v>
      </c>
      <c r="H4">
        <v>3E+20</v>
      </c>
      <c r="I4">
        <v>213.50977218872899</v>
      </c>
      <c r="J4">
        <v>27307.339988717998</v>
      </c>
      <c r="K4">
        <v>2494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10123.3221168377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10123.3221168377</v>
      </c>
      <c r="S4">
        <f t="array" ref="S4">MAX(IF((DiscreteStatsTable[GroupByKey]=DiscreteStatsTable[[#This Row],[GroupByKey]]),(DiscreteStatsTable[GroupByKey]=DiscreteStatsTable[[#This Row],[GroupByKey]])*DiscreteStatsTable[Average]))</f>
        <v>10123.3221168377</v>
      </c>
      <c r="T4">
        <f t="array" ref="T4">MIN(IF((DiscreteStatsTable[GroupByKey]=DiscreteStatsTable[[#This Row],[GroupByKey]]),(DiscreteStatsTable[GroupByKey]=DiscreteStatsTable[[#This Row],[GroupByKey]])*DiscreteStatsTable[Minimum]))</f>
        <v>213.50977218872899</v>
      </c>
      <c r="U4">
        <f t="array" ref="U4">MAX(IF((DiscreteStatsTable[GroupByKey]=DiscreteStatsTable[[#This Row],[GroupByKey]]),(DiscreteStatsTable[GroupByKey]=DiscreteStatsTable[[#This Row],[GroupByKey]])*DiscreteStatsTable[Maximum]))</f>
        <v>27307.339988717998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2494</v>
      </c>
      <c r="W4">
        <f>IF((DiscreteStatsTable[[#This Row],[RepsRequested]]&gt;1),DiscreteStatsTable[[#This Row],[HalfWidth]],DiscreteStatsTable[[#This Row],[BatchMeansHalfWidth]])</f>
        <v>3E+20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0</v>
      </c>
      <c r="I5">
        <v>0</v>
      </c>
      <c r="J5">
        <v>0</v>
      </c>
      <c r="K5">
        <v>2494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2494</v>
      </c>
      <c r="W5">
        <f>IF((DiscreteStatsTable[[#This Row],[RepsRequested]]&gt;1),DiscreteStatsTable[[#This Row],[HalfWidth]],DiscreteStatsTable[[#This Row],[BatchMeansHalfWidth]])</f>
        <v>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417.30367616594401</v>
      </c>
      <c r="H6">
        <v>4.2507441860343302</v>
      </c>
      <c r="I6">
        <v>0</v>
      </c>
      <c r="J6">
        <v>792.07468566892203</v>
      </c>
      <c r="K6">
        <v>2494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417.30367616594401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417.30367616594401</v>
      </c>
      <c r="S6">
        <f t="array" ref="S6">MAX(IF((DiscreteStatsTable[GroupByKey]=DiscreteStatsTable[[#This Row],[GroupByKey]]),(DiscreteStatsTable[GroupByKey]=DiscreteStatsTable[[#This Row],[GroupByKey]])*DiscreteStatsTable[Average]))</f>
        <v>417.30367616594401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792.07468566892203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2494</v>
      </c>
      <c r="W6">
        <f>IF((DiscreteStatsTable[[#This Row],[RepsRequested]]&gt;1),DiscreteStatsTable[[#This Row],[HalfWidth]],DiscreteStatsTable[[#This Row],[BatchMeansHalfWidth]])</f>
        <v>4.2507441860343302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9706.0184406717508</v>
      </c>
      <c r="H7">
        <v>3E+20</v>
      </c>
      <c r="I7">
        <v>0</v>
      </c>
      <c r="J7">
        <v>26765.0570100933</v>
      </c>
      <c r="K7">
        <v>2494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9706.0184406717508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9706.0184406717508</v>
      </c>
      <c r="S7">
        <f t="array" ref="S7">MAX(IF((DiscreteStatsTable[GroupByKey]=DiscreteStatsTable[[#This Row],[GroupByKey]]),(DiscreteStatsTable[GroupByKey]=DiscreteStatsTable[[#This Row],[GroupByKey]])*DiscreteStatsTable[Average]))</f>
        <v>9706.0184406717508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26765.0570100933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2494</v>
      </c>
      <c r="W7">
        <f>IF((DiscreteStatsTable[[#This Row],[RepsRequested]]&gt;1),DiscreteStatsTable[[#This Row],[HalfWidth]],DiscreteStatsTable[[#This Row],[BatchMeansHalfWidth]])</f>
        <v>3E+20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79</v>
      </c>
      <c r="E8" t="s">
        <v>80</v>
      </c>
      <c r="F8" t="s">
        <v>81</v>
      </c>
      <c r="G8">
        <v>9708.0137091732595</v>
      </c>
      <c r="H8">
        <v>3E+20</v>
      </c>
      <c r="I8">
        <v>0</v>
      </c>
      <c r="J8">
        <v>26765.0570100933</v>
      </c>
      <c r="K8">
        <v>2495</v>
      </c>
      <c r="L8" t="str">
        <f>DiscreteStatsTable[[#This Row],[ProjectName]]&amp;DiscreteStatsTable[[#This Row],[Name]]&amp;DiscreteStatsTable[[#This Row],[Type]]&amp;DiscreteStatsTable[[#This Row],[Source]]</f>
        <v>Unnamed ProjectTeller Service.QueueWaiting TimeQueue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9708.0137091732595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9708.0137091732595</v>
      </c>
      <c r="S8">
        <f t="array" ref="S8">MAX(IF((DiscreteStatsTable[GroupByKey]=DiscreteStatsTable[[#This Row],[GroupByKey]]),(DiscreteStatsTable[GroupByKey]=DiscreteStatsTable[[#This Row],[GroupByKey]])*DiscreteStatsTable[Average]))</f>
        <v>9708.0137091732595</v>
      </c>
      <c r="T8">
        <f t="array" ref="T8">MIN(IF((DiscreteStatsTable[GroupByKey]=DiscreteStatsTable[[#This Row],[GroupByKey]]),(DiscreteStatsTable[GroupByKey]=DiscreteStatsTable[[#This Row],[GroupByKey]])*DiscreteStatsTable[Minimum]))</f>
        <v>0</v>
      </c>
      <c r="U8">
        <f t="array" ref="U8">MAX(IF((DiscreteStatsTable[GroupByKey]=DiscreteStatsTable[[#This Row],[GroupByKey]]),(DiscreteStatsTable[GroupByKey]=DiscreteStatsTable[[#This Row],[GroupByKey]])*DiscreteStatsTable[Maximum]))</f>
        <v>26765.0570100933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2495</v>
      </c>
      <c r="W8">
        <f>IF((DiscreteStatsTable[[#This Row],[RepsRequested]]&gt;1),DiscreteStatsTable[[#This Row],[HalfWidth]],DiscreteStatsTable[[#This Row],[BatchMeansHalfWidth]])</f>
        <v>3E+20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855468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82</v>
      </c>
      <c r="F2" t="s">
        <v>73</v>
      </c>
      <c r="G2">
        <v>23.952888648027901</v>
      </c>
      <c r="H2">
        <v>3E+20</v>
      </c>
      <c r="I2">
        <v>0</v>
      </c>
      <c r="J2">
        <v>66</v>
      </c>
      <c r="K2">
        <v>24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23.952888648027901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23.952888648027901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23.952888648027901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25">
      <c r="A3" t="s">
        <v>67</v>
      </c>
      <c r="B3" t="s">
        <v>70</v>
      </c>
      <c r="C3">
        <v>1</v>
      </c>
      <c r="D3" t="s">
        <v>83</v>
      </c>
      <c r="E3" t="s">
        <v>84</v>
      </c>
      <c r="F3" t="s">
        <v>85</v>
      </c>
      <c r="G3">
        <v>0.98233445833754496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ProjectTellerInstantaneous UtilizationResource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0.98233445833754496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0.98233445833754496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0.98233445833754496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83</v>
      </c>
      <c r="E4" t="s">
        <v>86</v>
      </c>
      <c r="F4" t="s">
        <v>85</v>
      </c>
      <c r="G4">
        <v>0.98233445833754496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ProjectTellerNumber BusyResource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0.98233445833754496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0.98233445833754496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0.98233445833754496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83</v>
      </c>
      <c r="E5" t="s">
        <v>87</v>
      </c>
      <c r="F5" t="s">
        <v>85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ProjectTellerNumber ScheduledResource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70</v>
      </c>
      <c r="C6">
        <v>1</v>
      </c>
      <c r="D6" t="s">
        <v>79</v>
      </c>
      <c r="E6" t="s">
        <v>88</v>
      </c>
      <c r="F6" t="s">
        <v>81</v>
      </c>
      <c r="G6">
        <v>22.9705541896904</v>
      </c>
      <c r="H6">
        <v>3E+20</v>
      </c>
      <c r="I6">
        <v>0</v>
      </c>
      <c r="J6">
        <v>65</v>
      </c>
      <c r="K6">
        <v>23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ProjectTeller Service.QueueNumber WaitingQueue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22.9705541896904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22.9705541896904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22.9705541896904</v>
      </c>
      <c r="U6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5.710937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69.425781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73</v>
      </c>
      <c r="G2">
        <v>2518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2518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2518</v>
      </c>
      <c r="P2">
        <f t="array" ref="P2">MAX(IF((OutputTable[GroupByKey]=OutputTable[[#This Row],[GroupByKey]]),(OutputTable[GroupByKey]=OutputTable[[#This Row],[GroupByKey]])*OutputTable[RecordedValue]))</f>
        <v>2518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73</v>
      </c>
      <c r="G3">
        <v>2494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2494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2494</v>
      </c>
      <c r="P3">
        <f t="array" ref="P3">MAX(IF((OutputTable[GroupByKey]=OutputTable[[#This Row],[GroupByKey]]),(OutputTable[GroupByKey]=OutputTable[[#This Row],[GroupByKey]])*OutputTable[RecordedValue]))</f>
        <v>2494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92</v>
      </c>
      <c r="F4" t="s">
        <v>94</v>
      </c>
      <c r="G4">
        <v>2494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2494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2494</v>
      </c>
      <c r="P4">
        <f t="array" ref="P4">MAX(IF((OutputTable[GroupByKey]=OutputTable[[#This Row],[GroupByKey]]),(OutputTable[GroupByKey]=OutputTable[[#This Row],[GroupByKey]])*OutputTable[RecordedValue]))</f>
        <v>2494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85</v>
      </c>
      <c r="G5">
        <v>2495</v>
      </c>
      <c r="H5">
        <v>0</v>
      </c>
      <c r="I5" t="str">
        <f>OutputTable[[#This Row],[ProjectName]]&amp;OutputTable[[#This Row],[Name]]&amp;OutputTable[[#This Row],[Type]]&amp;OutputTable[[#This Row],[Source]]</f>
        <v>Unnamed ProjectTeller.NumberSeizedTotal Number SeizedResource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2495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2495</v>
      </c>
      <c r="P5">
        <f t="array" ref="P5">MAX(IF((OutputTable[GroupByKey]=OutputTable[[#This Row],[GroupByKey]]),(OutputTable[GroupByKey]=OutputTable[[#This Row],[GroupByKey]])*OutputTable[RecordedValue]))</f>
        <v>2495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98</v>
      </c>
      <c r="F6" t="s">
        <v>85</v>
      </c>
      <c r="G6">
        <v>0.98233445833754496</v>
      </c>
      <c r="H6">
        <v>0</v>
      </c>
      <c r="I6" t="str">
        <f>OutputTable[[#This Row],[ProjectName]]&amp;OutputTable[[#This Row],[Name]]&amp;OutputTable[[#This Row],[Type]]&amp;OutputTable[[#This Row],[Source]]</f>
        <v>Unnamed ProjectTeller.ScheduledUtilizationScheduled UtilizationResource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0.98233445833754496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0.98233445833754496</v>
      </c>
      <c r="P6">
        <f t="array" ref="P6">MAX(IF((OutputTable[GroupByKey]=OutputTable[[#This Row],[GroupByKey]]),(OutputTable[GroupByKey]=OutputTable[[#This Row],[GroupByKey]])*OutputTable[RecordedValue]))</f>
        <v>0.98233445833754496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MELI VICTOR</cp:lastModifiedBy>
  <cp:lastPrinted>2022-03-22T10:33:10Z</cp:lastPrinted>
  <dcterms:created xsi:type="dcterms:W3CDTF">2020-06-29T21:30:31Z</dcterms:created>
  <dcterms:modified xsi:type="dcterms:W3CDTF">2025-02-28T14:03:00Z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